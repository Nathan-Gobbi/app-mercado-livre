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Produto</t>
        </is>
      </c>
      <c r="C1" t="inlineStr">
        <is>
          <t>Código</t>
        </is>
      </c>
      <c r="D1" t="inlineStr">
        <is>
          <t>EAN</t>
        </is>
      </c>
      <c r="E1" t="inlineStr">
        <is>
          <t>NCM</t>
        </is>
      </c>
      <c r="F1" t="inlineStr">
        <is>
          <t>Custo</t>
        </is>
      </c>
      <c r="G1" t="inlineStr">
        <is>
          <t>Tipo</t>
        </is>
      </c>
      <c r="H1" t="inlineStr">
        <is>
          <t>Venda</t>
        </is>
      </c>
      <c r="I1" t="inlineStr">
        <is>
          <t>V. Liquido</t>
        </is>
      </c>
      <c r="J1" t="inlineStr">
        <is>
          <t>Imposto</t>
        </is>
      </c>
      <c r="K1" t="inlineStr">
        <is>
          <t>Embalagem</t>
        </is>
      </c>
      <c r="L1" t="inlineStr">
        <is>
          <t>Lucro Liquido</t>
        </is>
      </c>
      <c r="M1" t="inlineStr">
        <is>
          <t>Lucro %</t>
        </is>
      </c>
      <c r="N1" t="inlineStr">
        <is>
          <t>Estoque</t>
        </is>
      </c>
      <c r="O1" t="inlineStr">
        <is>
          <t>Diferença Estoque</t>
        </is>
      </c>
      <c r="Q1" t="inlineStr">
        <is>
          <t>Valor</t>
        </is>
      </c>
    </row>
    <row r="2">
      <c r="A2" t="inlineStr">
        <is>
          <t>EX0001</t>
        </is>
      </c>
      <c r="B2" t="inlineStr">
        <is>
          <t>Kit reparo suspensão 32mm</t>
        </is>
      </c>
      <c r="C2" t="inlineStr">
        <is>
          <t>KR-032</t>
        </is>
      </c>
      <c r="D2" t="n">
        <v>7890000000011</v>
      </c>
      <c r="E2" t="n">
        <v>87149100</v>
      </c>
      <c r="F2" t="n">
        <v>95</v>
      </c>
      <c r="G2" t="inlineStr">
        <is>
          <t>Premium</t>
        </is>
      </c>
      <c r="H2" t="n">
        <v>219.9</v>
      </c>
      <c r="I2" t="n">
        <v>168.4</v>
      </c>
      <c r="J2">
        <f>H2*0.06</f>
        <v/>
      </c>
      <c r="K2" t="n">
        <v>0.1</v>
      </c>
      <c r="L2">
        <f>I2-(F2+J2+K2)</f>
        <v/>
      </c>
      <c r="M2">
        <f>(100*L2)/H2</f>
        <v/>
      </c>
      <c r="N2" t="n">
        <v>8</v>
      </c>
      <c r="O2" t="n">
        <v>3</v>
      </c>
      <c r="Q2">
        <f>N2*F2</f>
        <v/>
      </c>
    </row>
    <row r="3">
      <c r="A3" t="inlineStr">
        <is>
          <t>EX0001</t>
        </is>
      </c>
      <c r="G3" t="inlineStr">
        <is>
          <t>Clássico</t>
        </is>
      </c>
      <c r="H3" t="n">
        <v>199.9</v>
      </c>
      <c r="I3" t="n">
        <v>160.1</v>
      </c>
      <c r="J3">
        <f>H3*0.06</f>
        <v/>
      </c>
      <c r="K3" t="n">
        <v>0.1</v>
      </c>
      <c r="L3">
        <f>I3-(F2+J3+K3)</f>
        <v/>
      </c>
      <c r="M3">
        <f>(100*L3)/H3</f>
        <v/>
      </c>
    </row>
    <row r="4">
      <c r="A4" t="inlineStr">
        <is>
          <t>EX0002</t>
        </is>
      </c>
      <c r="B4" t="inlineStr">
        <is>
          <t>Kit reparo suspensão 34mm</t>
        </is>
      </c>
      <c r="C4" t="inlineStr">
        <is>
          <t>KR-034</t>
        </is>
      </c>
      <c r="D4" t="n">
        <v>7890000000028</v>
      </c>
      <c r="E4" t="n">
        <v>87149100</v>
      </c>
      <c r="F4" t="n">
        <v>105</v>
      </c>
      <c r="G4" t="inlineStr">
        <is>
          <t>Premium</t>
        </is>
      </c>
      <c r="H4" t="n">
        <v>239.9</v>
      </c>
      <c r="I4" t="n">
        <v>183.5</v>
      </c>
      <c r="J4">
        <f>H4*0.06</f>
        <v/>
      </c>
      <c r="K4" t="n">
        <v>0.1</v>
      </c>
      <c r="L4">
        <f>I4-(F4+J4+K4)</f>
        <v/>
      </c>
      <c r="M4">
        <f>(100*L4)/H4</f>
        <v/>
      </c>
      <c r="N4" t="n">
        <v>3</v>
      </c>
      <c r="O4" t="n">
        <v>-2</v>
      </c>
      <c r="Q4">
        <f>N4*F4</f>
        <v/>
      </c>
    </row>
    <row r="5">
      <c r="A5" t="inlineStr">
        <is>
          <t>EX0002</t>
        </is>
      </c>
      <c r="G5" t="inlineStr">
        <is>
          <t>Clássico</t>
        </is>
      </c>
      <c r="H5" t="n">
        <v>219.9</v>
      </c>
      <c r="I5" t="n">
        <v>176.2</v>
      </c>
      <c r="J5">
        <f>H5*0.06</f>
        <v/>
      </c>
      <c r="K5" t="n">
        <v>0.1</v>
      </c>
      <c r="L5">
        <f>I5-(F4+J5+K5)</f>
        <v/>
      </c>
      <c r="M5">
        <f>(100*L5)/H5</f>
        <v/>
      </c>
    </row>
    <row r="6">
      <c r="A6" t="inlineStr">
        <is>
          <t>EX0003</t>
        </is>
      </c>
      <c r="B6" t="inlineStr">
        <is>
          <t>Retentor de bengala 32mm</t>
        </is>
      </c>
      <c r="C6" t="inlineStr">
        <is>
          <t>RT-032</t>
        </is>
      </c>
      <c r="D6" t="n">
        <v>7890000000035</v>
      </c>
      <c r="E6" t="n">
        <v>87149100</v>
      </c>
      <c r="F6" t="n">
        <v>28</v>
      </c>
      <c r="G6" t="inlineStr">
        <is>
          <t>Premium</t>
        </is>
      </c>
      <c r="H6" t="n">
        <v>79.90000000000001</v>
      </c>
      <c r="I6" t="n">
        <v>57.3</v>
      </c>
      <c r="J6">
        <f>H6*0.06</f>
        <v/>
      </c>
      <c r="K6" t="n">
        <v>0.1</v>
      </c>
      <c r="L6">
        <f>I6-(F6+J6+K6)</f>
        <v/>
      </c>
      <c r="M6">
        <f>(100*L6)/H6</f>
        <v/>
      </c>
      <c r="N6" t="n">
        <v>25</v>
      </c>
      <c r="O6" t="n">
        <v>5</v>
      </c>
      <c r="Q6">
        <f>N6*F6</f>
        <v/>
      </c>
    </row>
    <row r="7">
      <c r="A7" t="inlineStr">
        <is>
          <t>EX0003</t>
        </is>
      </c>
      <c r="G7" t="inlineStr">
        <is>
          <t>Clássico</t>
        </is>
      </c>
      <c r="H7" t="n">
        <v>72.90000000000001</v>
      </c>
      <c r="I7" t="n">
        <v>55.1</v>
      </c>
      <c r="J7">
        <f>H7*0.06</f>
        <v/>
      </c>
      <c r="K7" t="n">
        <v>0.1</v>
      </c>
      <c r="L7">
        <f>I7-(F6+J7+K7)</f>
        <v/>
      </c>
      <c r="M7">
        <f>(100*L7)/H7</f>
        <v/>
      </c>
    </row>
    <row r="8">
      <c r="A8" t="inlineStr">
        <is>
          <t>EX0004</t>
        </is>
      </c>
      <c r="B8" t="inlineStr">
        <is>
          <t>Retentor de bengala 36mm</t>
        </is>
      </c>
      <c r="C8" t="inlineStr">
        <is>
          <t>RT-036</t>
        </is>
      </c>
      <c r="D8" t="n">
        <v>7890000000042</v>
      </c>
      <c r="E8" t="n">
        <v>87149100</v>
      </c>
      <c r="F8" t="n">
        <v>32</v>
      </c>
      <c r="G8" t="inlineStr">
        <is>
          <t>Premium</t>
        </is>
      </c>
      <c r="H8" t="n">
        <v>89.90000000000001</v>
      </c>
      <c r="I8" t="n">
        <v>64.8</v>
      </c>
      <c r="J8">
        <f>H8*0.06</f>
        <v/>
      </c>
      <c r="K8" t="n">
        <v>0.1</v>
      </c>
      <c r="L8">
        <f>I8-(F8+J8+K8)</f>
        <v/>
      </c>
      <c r="M8">
        <f>(100*L8)/H8</f>
        <v/>
      </c>
      <c r="N8" t="n">
        <v>12</v>
      </c>
      <c r="O8" t="n">
        <v>-8</v>
      </c>
      <c r="Q8">
        <f>N8*F8</f>
        <v/>
      </c>
    </row>
    <row r="9">
      <c r="A9" t="inlineStr">
        <is>
          <t>EX0004</t>
        </is>
      </c>
      <c r="G9" t="inlineStr">
        <is>
          <t>Clássico</t>
        </is>
      </c>
      <c r="H9" t="n">
        <v>82.90000000000001</v>
      </c>
      <c r="I9" t="n">
        <v>62.7</v>
      </c>
      <c r="J9">
        <f>H9*0.06</f>
        <v/>
      </c>
      <c r="K9" t="n">
        <v>0.1</v>
      </c>
      <c r="L9">
        <f>I9-(F8+J9+K9)</f>
        <v/>
      </c>
      <c r="M9">
        <f>(100*L9)/H9</f>
        <v/>
      </c>
    </row>
    <row r="10">
      <c r="A10" t="inlineStr">
        <is>
          <t>EX0005</t>
        </is>
      </c>
      <c r="B10" t="inlineStr">
        <is>
          <t>Freio a disco hidráulico dianteiro</t>
        </is>
      </c>
      <c r="C10" t="inlineStr">
        <is>
          <t>FD-100</t>
        </is>
      </c>
      <c r="D10" t="n">
        <v>7890000000059</v>
      </c>
      <c r="E10" t="n">
        <v>87149490</v>
      </c>
      <c r="F10" t="n">
        <v>145</v>
      </c>
      <c r="G10" t="inlineStr">
        <is>
          <t>Premium</t>
        </is>
      </c>
      <c r="H10" t="n">
        <v>289.9</v>
      </c>
      <c r="I10" t="n">
        <v>225.3</v>
      </c>
      <c r="J10">
        <f>H10*0.06</f>
        <v/>
      </c>
      <c r="K10" t="n">
        <v>0.1</v>
      </c>
      <c r="L10">
        <f>I10-(F10+J10+K10)</f>
        <v/>
      </c>
      <c r="M10">
        <f>(100*L10)/H10</f>
        <v/>
      </c>
      <c r="N10" t="n">
        <v>6</v>
      </c>
      <c r="O10" t="n">
        <v>2</v>
      </c>
      <c r="Q10">
        <f>N10*F10</f>
        <v/>
      </c>
    </row>
    <row r="11">
      <c r="A11" t="inlineStr">
        <is>
          <t>EX0005</t>
        </is>
      </c>
      <c r="G11" t="inlineStr">
        <is>
          <t>Clássico</t>
        </is>
      </c>
      <c r="H11" t="n">
        <v>269.9</v>
      </c>
      <c r="I11" t="n">
        <v>219.8</v>
      </c>
      <c r="J11">
        <f>H11*0.06</f>
        <v/>
      </c>
      <c r="K11" t="n">
        <v>0.1</v>
      </c>
      <c r="L11">
        <f>I11-(F10+J11+K11)</f>
        <v/>
      </c>
      <c r="M11">
        <f>(100*L11)/H11</f>
        <v/>
      </c>
    </row>
    <row r="12">
      <c r="A12" t="inlineStr">
        <is>
          <t>EX0006</t>
        </is>
      </c>
      <c r="B12" t="inlineStr">
        <is>
          <t>Freio a disco hidráulico traseiro</t>
        </is>
      </c>
      <c r="C12" t="inlineStr">
        <is>
          <t>FD-200</t>
        </is>
      </c>
      <c r="D12" t="n">
        <v>7890000000066</v>
      </c>
      <c r="E12" t="n">
        <v>87149490</v>
      </c>
      <c r="F12" t="n">
        <v>150</v>
      </c>
      <c r="G12" t="inlineStr">
        <is>
          <t>Premium</t>
        </is>
      </c>
      <c r="H12" t="n">
        <v>299.9</v>
      </c>
      <c r="I12" t="n">
        <v>233</v>
      </c>
      <c r="J12">
        <f>H12*0.06</f>
        <v/>
      </c>
      <c r="K12" t="n">
        <v>0.1</v>
      </c>
      <c r="L12">
        <f>I12-(F12+J12+K12)</f>
        <v/>
      </c>
      <c r="M12">
        <f>(100*L12)/H12</f>
        <v/>
      </c>
      <c r="N12" t="n">
        <v>2</v>
      </c>
      <c r="O12" t="n">
        <v>-2</v>
      </c>
      <c r="Q12">
        <f>N12*F12</f>
        <v/>
      </c>
    </row>
    <row r="13">
      <c r="A13" t="inlineStr">
        <is>
          <t>EX0006</t>
        </is>
      </c>
      <c r="G13" t="inlineStr">
        <is>
          <t>Clássico</t>
        </is>
      </c>
      <c r="H13" t="n">
        <v>279.9</v>
      </c>
      <c r="I13" t="n">
        <v>227.4</v>
      </c>
      <c r="J13">
        <f>H13*0.06</f>
        <v/>
      </c>
      <c r="K13" t="n">
        <v>0.1</v>
      </c>
      <c r="L13">
        <f>I13-(F12+J13+K13)</f>
        <v/>
      </c>
      <c r="M13">
        <f>(100*L13)/H13</f>
        <v/>
      </c>
    </row>
    <row r="14">
      <c r="A14" t="inlineStr">
        <is>
          <t>EX0007</t>
        </is>
      </c>
      <c r="B14" t="inlineStr">
        <is>
          <t>Pastilha de freio resina</t>
        </is>
      </c>
      <c r="C14" t="inlineStr">
        <is>
          <t>PF-010</t>
        </is>
      </c>
      <c r="D14" t="n">
        <v>7890000000073</v>
      </c>
      <c r="E14" t="n">
        <v>87149490</v>
      </c>
      <c r="F14" t="n">
        <v>9.5</v>
      </c>
      <c r="G14" t="inlineStr">
        <is>
          <t>Premium</t>
        </is>
      </c>
      <c r="H14" t="n">
        <v>39.9</v>
      </c>
      <c r="I14" t="n">
        <v>26.1</v>
      </c>
      <c r="J14">
        <f>H14*0.06</f>
        <v/>
      </c>
      <c r="K14" t="n">
        <v>0.1</v>
      </c>
      <c r="L14">
        <f>I14-(F14+J14+K14)</f>
        <v/>
      </c>
      <c r="M14">
        <f>(100*L14)/H14</f>
        <v/>
      </c>
      <c r="N14" t="n">
        <v>60</v>
      </c>
      <c r="O14" t="n">
        <v>30</v>
      </c>
      <c r="Q14">
        <f>N14*F14</f>
        <v/>
      </c>
    </row>
    <row r="15">
      <c r="A15" t="inlineStr">
        <is>
          <t>EX0007</t>
        </is>
      </c>
      <c r="G15" t="inlineStr">
        <is>
          <t>Clássico</t>
        </is>
      </c>
      <c r="H15" t="n">
        <v>34.9</v>
      </c>
      <c r="I15" t="n">
        <v>24.7</v>
      </c>
      <c r="J15">
        <f>H15*0.06</f>
        <v/>
      </c>
      <c r="K15" t="n">
        <v>0.1</v>
      </c>
      <c r="L15">
        <f>I15-(F14+J15+K15)</f>
        <v/>
      </c>
      <c r="M15">
        <f>(100*L15)/H15</f>
        <v/>
      </c>
    </row>
    <row r="16">
      <c r="A16" t="inlineStr">
        <is>
          <t>EX0008</t>
        </is>
      </c>
      <c r="B16" t="inlineStr">
        <is>
          <t>Corrente 12 velocidades</t>
        </is>
      </c>
      <c r="C16" t="inlineStr">
        <is>
          <t>CR-012</t>
        </is>
      </c>
      <c r="D16" t="n">
        <v>7890000000080</v>
      </c>
      <c r="E16" t="n">
        <v>73151210</v>
      </c>
      <c r="F16" t="n">
        <v>88</v>
      </c>
      <c r="G16" t="inlineStr">
        <is>
          <t>Premium</t>
        </is>
      </c>
      <c r="H16" t="n">
        <v>189.9</v>
      </c>
      <c r="I16" t="n">
        <v>146.2</v>
      </c>
      <c r="J16">
        <f>H16*0.06</f>
        <v/>
      </c>
      <c r="K16" t="n">
        <v>0.1</v>
      </c>
      <c r="L16">
        <f>I16-(F16+J16+K16)</f>
        <v/>
      </c>
      <c r="M16">
        <f>(100*L16)/H16</f>
        <v/>
      </c>
      <c r="N16" t="n">
        <v>10</v>
      </c>
      <c r="O16" t="n">
        <v>2</v>
      </c>
      <c r="Q16">
        <f>N16*F16</f>
        <v/>
      </c>
    </row>
    <row r="17">
      <c r="A17" t="inlineStr">
        <is>
          <t>EX0008</t>
        </is>
      </c>
      <c r="G17" t="inlineStr">
        <is>
          <t>Clássico</t>
        </is>
      </c>
      <c r="H17" t="n">
        <v>174.9</v>
      </c>
      <c r="I17" t="n">
        <v>141.3</v>
      </c>
      <c r="J17">
        <f>H17*0.06</f>
        <v/>
      </c>
      <c r="K17" t="n">
        <v>0.1</v>
      </c>
      <c r="L17">
        <f>I17-(F16+J17+K17)</f>
        <v/>
      </c>
      <c r="M17">
        <f>(100*L17)/H17</f>
        <v/>
      </c>
    </row>
    <row r="18">
      <c r="A18" t="inlineStr">
        <is>
          <t>EX0009</t>
        </is>
      </c>
      <c r="B18" t="inlineStr">
        <is>
          <t>Manopla de silicone preta</t>
        </is>
      </c>
      <c r="C18" t="inlineStr">
        <is>
          <t>MN-001</t>
        </is>
      </c>
      <c r="D18" t="n">
        <v>7890000000097</v>
      </c>
      <c r="E18" t="n">
        <v>87149990</v>
      </c>
      <c r="F18" t="n">
        <v>7.5</v>
      </c>
      <c r="G18" t="inlineStr">
        <is>
          <t>Premium</t>
        </is>
      </c>
      <c r="H18" t="n">
        <v>29.9</v>
      </c>
      <c r="I18" t="n">
        <v>17.9</v>
      </c>
      <c r="J18">
        <f>H18*0.06</f>
        <v/>
      </c>
      <c r="K18" t="n">
        <v>0.1</v>
      </c>
      <c r="L18">
        <f>I18-(F18+J18+K18)</f>
        <v/>
      </c>
      <c r="M18">
        <f>(100*L18)/H18</f>
        <v/>
      </c>
      <c r="N18" t="n">
        <v>40</v>
      </c>
      <c r="O18" t="n">
        <v>15</v>
      </c>
      <c r="Q18">
        <f>N18*F18</f>
        <v/>
      </c>
    </row>
    <row r="19">
      <c r="A19" t="inlineStr">
        <is>
          <t>EX0009</t>
        </is>
      </c>
      <c r="G19" t="inlineStr">
        <is>
          <t>Clássico</t>
        </is>
      </c>
      <c r="H19" t="n">
        <v>26.9</v>
      </c>
      <c r="I19" t="n">
        <v>17.2</v>
      </c>
      <c r="J19">
        <f>H19*0.06</f>
        <v/>
      </c>
      <c r="K19" t="n">
        <v>0.1</v>
      </c>
      <c r="L19">
        <f>I19-(F18+J19+K19)</f>
        <v/>
      </c>
      <c r="M19">
        <f>(100*L19)/H19</f>
        <v/>
      </c>
    </row>
    <row r="20">
      <c r="A20" t="inlineStr">
        <is>
          <t>EX0010</t>
        </is>
      </c>
      <c r="B20" t="inlineStr">
        <is>
          <t>Manopla de silicone azul</t>
        </is>
      </c>
      <c r="C20" t="inlineStr">
        <is>
          <t>MN-002</t>
        </is>
      </c>
      <c r="D20" t="n">
        <v>7890000000103</v>
      </c>
      <c r="E20" t="n">
        <v>87149990</v>
      </c>
      <c r="G20" t="inlineStr">
        <is>
          <t>Premium</t>
        </is>
      </c>
      <c r="H20" t="n">
        <v>29.9</v>
      </c>
      <c r="I20" t="n">
        <v>17.9</v>
      </c>
      <c r="J20">
        <f>H20*0.06</f>
        <v/>
      </c>
      <c r="K20" t="n">
        <v>0.1</v>
      </c>
      <c r="L20">
        <f>I20-($F$18+J20+K20)</f>
        <v/>
      </c>
      <c r="M20">
        <f>(100*L20)/H20</f>
        <v/>
      </c>
      <c r="N20" t="n">
        <v>18</v>
      </c>
      <c r="O20" t="n">
        <v>-7</v>
      </c>
      <c r="Q20">
        <f>N20*$F$18</f>
        <v/>
      </c>
    </row>
    <row r="21">
      <c r="A21" t="inlineStr">
        <is>
          <t>EX0011</t>
        </is>
      </c>
      <c r="B21" t="inlineStr">
        <is>
          <t>Adaptador de cubo boost</t>
        </is>
      </c>
      <c r="C21" t="inlineStr">
        <is>
          <t>AD-148</t>
        </is>
      </c>
      <c r="D21" t="n">
        <v>7890000000110</v>
      </c>
      <c r="E21" t="n">
        <v>87149100</v>
      </c>
      <c r="F21" t="n">
        <v>21</v>
      </c>
      <c r="G21" t="inlineStr">
        <is>
          <t>Premium</t>
        </is>
      </c>
      <c r="H21" t="n">
        <v>59.9</v>
      </c>
      <c r="I21" t="n">
        <v>40.2</v>
      </c>
      <c r="J21">
        <f>H21*0.06</f>
        <v/>
      </c>
      <c r="K21" t="n">
        <v>0.1</v>
      </c>
      <c r="L21">
        <f>I21-(F21+J21+K21)</f>
        <v/>
      </c>
      <c r="M21">
        <f>(100*L21)/H21</f>
        <v/>
      </c>
      <c r="N21" t="n">
        <v>30</v>
      </c>
      <c r="O21" t="n">
        <v>10</v>
      </c>
      <c r="Q21">
        <f>N21*F21</f>
        <v/>
      </c>
    </row>
    <row r="22">
      <c r="A22" t="inlineStr">
        <is>
          <t>EX0011</t>
        </is>
      </c>
      <c r="G22" t="inlineStr">
        <is>
          <t>Clássico</t>
        </is>
      </c>
      <c r="H22" t="n">
        <v>54.9</v>
      </c>
      <c r="I22" t="n">
        <v>38.8</v>
      </c>
      <c r="J22">
        <f>H22*0.06</f>
        <v/>
      </c>
      <c r="K22" t="n">
        <v>0.1</v>
      </c>
      <c r="L22">
        <f>I22-(F21+J22+K22)</f>
        <v/>
      </c>
      <c r="M22">
        <f>(100*L22)/H22</f>
        <v/>
      </c>
    </row>
    <row r="23">
      <c r="A23" t="inlineStr">
        <is>
          <t>EX0012</t>
        </is>
      </c>
      <c r="B23" t="inlineStr">
        <is>
          <t>Bomba de ar de alta pressão</t>
        </is>
      </c>
      <c r="C23" t="inlineStr">
        <is>
          <t>BA-300</t>
        </is>
      </c>
      <c r="D23" t="n">
        <v>7890000000127</v>
      </c>
      <c r="E23" t="n">
        <v>84142000</v>
      </c>
      <c r="F23" t="n">
        <v>42</v>
      </c>
      <c r="G23" t="inlineStr">
        <is>
          <t>Premium</t>
        </is>
      </c>
      <c r="H23" t="n">
        <v>119.9</v>
      </c>
      <c r="I23" t="n">
        <v>88.7</v>
      </c>
      <c r="J23">
        <f>H23*0.06</f>
        <v/>
      </c>
      <c r="K23" t="n">
        <v>0.1</v>
      </c>
      <c r="L23">
        <f>I23-(F23+J23+K23)</f>
        <v/>
      </c>
      <c r="M23">
        <f>(100*L23)/H23</f>
        <v/>
      </c>
      <c r="N23" t="n">
        <v>9</v>
      </c>
      <c r="O23" t="n">
        <v>-1</v>
      </c>
      <c r="Q23">
        <f>N23*F23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2026-09-24T10:57:21Z</dcterms:created>
  <dcterms:modified xsi:type="dcterms:W3CDTF">2026-09-24T10:57:21Z</dcterms:modified>
</cp:coreProperties>
</file>